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ical_Summary" sheetId="1" r:id="rId1"/>
    <sheet name="HBPM_Readings" sheetId="2" r:id="rId2"/>
    <sheet name="Metabolic_Pane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32.83203125" customWidth="1"/>
    <col min="2" max="2" width="32.83203125" customWidth="1"/>
    <col min="3" max="3" width="30.83203125" customWidth="1"/>
    <col min="4" max="4" width="35.83203125" customWidth="1"/>
  </cols>
  <sheetData>
    <row r="1">
      <c r="A1" t="str">
        <v>NHS PRIMARY CARE CLINICAL HEALTH ANALYSIS WORKBOOK</v>
      </c>
    </row>
    <row r="2">
      <c r="A2" t="str">
        <v>PROGRAMME: MILD ESSENTIAL HYPERTENSION &amp; METABOLIC SURVEILLANCE</v>
      </c>
    </row>
    <row r="3">
      <c r="A3" t="str">
        <v>GUIDELINE SPECIFICATION: NICE NG136 / ACC-AHA STAGE 1</v>
      </c>
    </row>
    <row r="4">
      <c r="A4" t="str">
        <v/>
      </c>
    </row>
    <row r="5">
      <c r="A5" t="str">
        <v>PATIENT DEMOGRAPHICS</v>
      </c>
      <c r="B5" t="str">
        <v/>
      </c>
      <c r="C5" t="str">
        <v>CLINICAL CLASSIFICATION</v>
      </c>
      <c r="D5" t="str">
        <v/>
      </c>
    </row>
    <row r="6">
      <c r="A6" t="str">
        <v>Patient Full Name:</v>
      </c>
      <c r="B6" t="str">
        <v>Mr Robert Colin HAYES</v>
      </c>
      <c r="C6" t="str">
        <v>Diagnosis:</v>
      </c>
      <c r="D6" t="str">
        <v>Stage 1 Essential Hypertension</v>
      </c>
    </row>
    <row r="7">
      <c r="A7" t="str">
        <v>NHS Number:</v>
      </c>
      <c r="B7" t="str">
        <v>491 802 6154</v>
      </c>
      <c r="C7" t="str">
        <v>ICD-10 Code:</v>
      </c>
      <c r="D7" t="str">
        <v>I10</v>
      </c>
    </row>
    <row r="8">
      <c r="A8" t="str">
        <v>Date of Birth:</v>
      </c>
      <c r="B8" t="str">
        <v>1978-08-14 (Age: 48)</v>
      </c>
      <c r="C8" t="str">
        <v>SNOMED CT:</v>
      </c>
      <c r="D8" t="str">
        <v>38341003</v>
      </c>
    </row>
    <row r="9">
      <c r="A9" t="str">
        <v>Gender:</v>
      </c>
      <c r="B9" t="str">
        <v>Male</v>
      </c>
      <c r="C9" t="str">
        <v>Target HBPM BP:</v>
      </c>
      <c r="D9" t="str">
        <v>&lt; 135/85 mmHg</v>
      </c>
    </row>
    <row r="10">
      <c r="A10" t="str">
        <v>Registered GP:</v>
      </c>
      <c r="B10" t="str">
        <v>Dr Eleanor Vance (GMC: 6104928)</v>
      </c>
      <c r="C10" t="str">
        <v>Current Regime:</v>
      </c>
      <c r="D10" t="str">
        <v>Conservative Lifestyle (DASH + Exercise)</v>
      </c>
    </row>
    <row r="11">
      <c r="A11" t="str">
        <v>Primary Practice:</v>
      </c>
      <c r="B11" t="str">
        <v>Oakridge Medical Practice (A83041)</v>
      </c>
      <c r="C11" t="str">
        <v>10-Yr CVD Risk (QRISK3):</v>
      </c>
      <c r="D11" t="str">
        <v>6.4% (Low Risk &lt; 10%)</v>
      </c>
    </row>
    <row r="12">
      <c r="A12" t="str">
        <v/>
      </c>
    </row>
    <row r="13">
      <c r="A13" t="str">
        <v>KEY SUMMARY METRICS</v>
      </c>
      <c r="B13" t="str">
        <v/>
      </c>
      <c r="C13" t="str">
        <v/>
      </c>
      <c r="D13" t="str">
        <v/>
      </c>
    </row>
    <row r="14">
      <c r="A14" t="str">
        <v>Metric Description</v>
      </c>
      <c r="B14" t="str">
        <v>Observed Value</v>
      </c>
      <c r="C14" t="str">
        <v>Units</v>
      </c>
      <c r="D14" t="str">
        <v>Clinical Status</v>
      </c>
    </row>
    <row r="15">
      <c r="A15" t="str">
        <v>28-Day Mean Systolic HBPM</v>
      </c>
      <c r="B15">
        <v>136.2</v>
      </c>
      <c r="C15" t="str">
        <v>mmHg</v>
      </c>
      <c r="D15" t="str">
        <v>Borderline Stage 1</v>
      </c>
    </row>
    <row r="16">
      <c r="A16" t="str">
        <v>28-Day Mean Diastolic HBPM</v>
      </c>
      <c r="B16">
        <v>85.4</v>
      </c>
      <c r="C16" t="str">
        <v>mmHg</v>
      </c>
      <c r="D16" t="str">
        <v>Borderline Stage 1</v>
      </c>
    </row>
    <row r="17">
      <c r="A17" t="str">
        <v>Average Resting Pulse</v>
      </c>
      <c r="B17">
        <v>69.8</v>
      </c>
      <c r="C17" t="str">
        <v>bpm</v>
      </c>
      <c r="D17" t="str">
        <v>Normal sinus range</v>
      </c>
    </row>
    <row r="18">
      <c r="A18" t="str">
        <v>Mean Arterial Pressure (MAP)</v>
      </c>
      <c r="B18">
        <v>102.3</v>
      </c>
      <c r="C18" t="str">
        <v>mmHg</v>
      </c>
      <c r="D18" t="str">
        <v>Acceptable</v>
      </c>
    </row>
    <row r="19">
      <c r="A19" t="str">
        <v>Body Mass Index (BMI)</v>
      </c>
      <c r="B19">
        <v>26.8</v>
      </c>
      <c r="C19" t="str">
        <v>kg/m²</v>
      </c>
      <c r="D19" t="str">
        <v>Overweight (Target: &lt; 25.0)</v>
      </c>
    </row>
    <row r="20">
      <c r="A20" t="str">
        <v>Glycated Haemoglobin (HbA1c)</v>
      </c>
      <c r="B20">
        <v>37</v>
      </c>
      <c r="C20" t="str">
        <v>mmol/mol</v>
      </c>
      <c r="D20" t="str">
        <v>Normoglycaemic (Normal)</v>
      </c>
    </row>
    <row r="21">
      <c r="A21" t="str">
        <v>Estimated GFR (eGFR)</v>
      </c>
      <c r="B21" t="str">
        <v>&gt; 90</v>
      </c>
      <c r="C21" t="str">
        <v>mL/min</v>
      </c>
      <c r="D21" t="str">
        <v>Normal baseline renal clearance</v>
      </c>
    </row>
    <row r="22">
      <c r="A22" t="str">
        <v/>
      </c>
    </row>
    <row r="23">
      <c r="A23" t="str">
        <v>CLINICAL ACTION PLAN:</v>
      </c>
      <c r="B23" t="str">
        <v>Lifestyle review in 12 weeks. Maintain sodium &lt; 5g/day, 150 mins aerobic exercise/week.</v>
      </c>
    </row>
  </sheetData>
  <ignoredErrors>
    <ignoredError numberStoredAsText="1" sqref="A1:D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cols>
    <col min="1" max="1" width="14.83203125" customWidth="1"/>
    <col min="2" max="2" width="16.83203125" customWidth="1"/>
    <col min="3" max="3" width="16.83203125" customWidth="1"/>
    <col min="4" max="4" width="16.83203125" customWidth="1"/>
    <col min="5" max="5" width="12.83203125" customWidth="1"/>
    <col min="6" max="6" width="14.83203125" customWidth="1"/>
    <col min="7" max="7" width="20.83203125" customWidth="1"/>
    <col min="8" max="8" width="32.83203125" customWidth="1"/>
  </cols>
  <sheetData>
    <row r="1">
      <c r="A1" t="str">
        <v>28-DAY HOME BLOOD PRESSURE MONITORING LOG (HBPM)</v>
      </c>
    </row>
    <row r="2">
      <c r="A2" t="str">
        <v>Standard: Twice-daily seated measurements (NICE NG136 protocol)</v>
      </c>
    </row>
    <row r="3">
      <c r="A3" t="str">
        <v/>
      </c>
    </row>
    <row r="4">
      <c r="A4" t="str">
        <v>Date</v>
      </c>
      <c r="B4" t="str">
        <v>Time_Slot</v>
      </c>
      <c r="C4" t="str">
        <v>Systolic_mmHg</v>
      </c>
      <c r="D4" t="str">
        <v>Diastolic_mmHg</v>
      </c>
      <c r="E4" t="str">
        <v>Pulse_bpm</v>
      </c>
      <c r="F4" t="str">
        <v>MAP_mmHg</v>
      </c>
      <c r="G4" t="str">
        <v>Classification</v>
      </c>
      <c r="H4" t="str">
        <v>Notes</v>
      </c>
    </row>
    <row r="5">
      <c r="A5" t="str">
        <v>2026-08-01</v>
      </c>
      <c r="B5" t="str">
        <v>AM (08:15)</v>
      </c>
      <c r="C5">
        <v>138</v>
      </c>
      <c r="D5">
        <v>86</v>
      </c>
      <c r="E5">
        <v>71</v>
      </c>
      <c r="F5">
        <f>ROUND(D5 + (C5 - D5)/3, 1)</f>
      </c>
      <c r="G5" t="str">
        <v>Target Range</v>
      </c>
      <c r="H5" t="str">
        <v>Fasting, rested 5 mins</v>
      </c>
    </row>
    <row r="6">
      <c r="A6" t="str">
        <v>2026-08-01</v>
      </c>
      <c r="B6" t="str">
        <v>PM (19:30)</v>
      </c>
      <c r="C6">
        <v>135</v>
      </c>
      <c r="D6">
        <v>84</v>
      </c>
      <c r="E6">
        <v>68</v>
      </c>
      <c r="F6">
        <f>ROUND(D6 + (C6 - D6)/3, 1)</f>
      </c>
      <c r="G6" t="str">
        <v>Target Range</v>
      </c>
      <c r="H6" t="str">
        <v>Post-dinner reading</v>
      </c>
    </row>
    <row r="7">
      <c r="A7" t="str">
        <v>2026-08-02</v>
      </c>
      <c r="B7" t="str">
        <v>AM (08:20)</v>
      </c>
      <c r="C7">
        <v>141</v>
      </c>
      <c r="D7">
        <v>88</v>
      </c>
      <c r="E7">
        <v>74</v>
      </c>
      <c r="F7">
        <f>ROUND(D7 + (C7 - D7)/3, 1)</f>
      </c>
      <c r="G7" t="str">
        <v>Stage 1 Elevated</v>
      </c>
      <c r="H7" t="str">
        <v>Work presentation anxiety</v>
      </c>
    </row>
    <row r="8">
      <c r="A8" t="str">
        <v>2026-08-02</v>
      </c>
      <c r="B8" t="str">
        <v>PM (20:00)</v>
      </c>
      <c r="C8">
        <v>134</v>
      </c>
      <c r="D8">
        <v>83</v>
      </c>
      <c r="E8">
        <v>67</v>
      </c>
      <c r="F8">
        <f>ROUND(D8 + (C8 - D8)/3, 1)</f>
      </c>
      <c r="G8" t="str">
        <v>Target Range</v>
      </c>
      <c r="H8" t="str">
        <v>Rested evening</v>
      </c>
    </row>
    <row r="9">
      <c r="A9" t="str">
        <v>2026-08-03</v>
      </c>
      <c r="B9" t="str">
        <v>AM (08:10)</v>
      </c>
      <c r="C9">
        <v>136</v>
      </c>
      <c r="D9">
        <v>85</v>
      </c>
      <c r="E9">
        <v>70</v>
      </c>
      <c r="F9">
        <f>ROUND(D9 + (C9 - D9)/3, 1)</f>
      </c>
      <c r="G9" t="str">
        <v>Target Range</v>
      </c>
      <c r="H9" t="str">
        <v>Good sleep duration (7.5 hrs)</v>
      </c>
    </row>
    <row r="10">
      <c r="A10" t="str">
        <v>2026-08-03</v>
      </c>
      <c r="B10" t="str">
        <v>PM (19:45)</v>
      </c>
      <c r="C10">
        <v>137</v>
      </c>
      <c r="D10">
        <v>86</v>
      </c>
      <c r="E10">
        <v>69</v>
      </c>
      <c r="F10">
        <f>ROUND(D10 + (C10 - D10)/3, 1)</f>
      </c>
      <c r="G10" t="str">
        <v>Target Range</v>
      </c>
      <c r="H10" t="str">
        <v>Routine</v>
      </c>
    </row>
    <row r="11">
      <c r="A11" t="str">
        <v>2026-08-04</v>
      </c>
      <c r="B11" t="str">
        <v>AM (08:30)</v>
      </c>
      <c r="C11">
        <v>139</v>
      </c>
      <c r="D11">
        <v>87</v>
      </c>
      <c r="E11">
        <v>72</v>
      </c>
      <c r="F11">
        <f>ROUND(D11 + (C11 - D11)/3, 1)</f>
      </c>
      <c r="G11" t="str">
        <v>Target Range</v>
      </c>
      <c r="H11" t="str">
        <v>Before breakfast</v>
      </c>
    </row>
    <row r="12">
      <c r="A12" t="str">
        <v>2026-08-04</v>
      </c>
      <c r="B12" t="str">
        <v>PM (19:15)</v>
      </c>
      <c r="C12">
        <v>133</v>
      </c>
      <c r="D12">
        <v>82</v>
      </c>
      <c r="E12">
        <v>66</v>
      </c>
      <c r="F12">
        <f>ROUND(D12 + (C12 - D12)/3, 1)</f>
      </c>
      <c r="G12" t="str">
        <v>Target Range</v>
      </c>
      <c r="H12" t="str">
        <v>Relaxed, post 30-min walk</v>
      </c>
    </row>
    <row r="13">
      <c r="A13" t="str">
        <v>2026-08-05</v>
      </c>
      <c r="B13" t="str">
        <v>AM (08:15)</v>
      </c>
      <c r="C13">
        <v>137</v>
      </c>
      <c r="D13">
        <v>85</v>
      </c>
      <c r="E13">
        <v>68</v>
      </c>
      <c r="F13">
        <f>ROUND(D13 + (C13 - D13)/3, 1)</f>
      </c>
      <c r="G13" t="str">
        <v>Target Range</v>
      </c>
      <c r="H13" t="str">
        <v>Standard protocol</v>
      </c>
    </row>
    <row r="14">
      <c r="A14" t="str">
        <v>2026-08-05</v>
      </c>
      <c r="B14" t="str">
        <v>PM (20:10)</v>
      </c>
      <c r="C14">
        <v>136</v>
      </c>
      <c r="D14">
        <v>84</v>
      </c>
      <c r="E14">
        <v>67</v>
      </c>
      <c r="F14">
        <f>ROUND(D14 + (C14 - D14)/3, 1)</f>
      </c>
      <c r="G14" t="str">
        <v>Target Range</v>
      </c>
      <c r="H14" t="str">
        <v>Normal reading</v>
      </c>
    </row>
    <row r="15">
      <c r="A15" t="str">
        <v>2026-08-06</v>
      </c>
      <c r="B15" t="str">
        <v>AM (09:00)</v>
      </c>
      <c r="C15">
        <v>134</v>
      </c>
      <c r="D15">
        <v>83</v>
      </c>
      <c r="E15">
        <v>65</v>
      </c>
      <c r="F15">
        <f>ROUND(D15 + (C15 - D15)/3, 1)</f>
      </c>
      <c r="G15" t="str">
        <v>Target Range</v>
      </c>
      <c r="H15" t="str">
        <v>Weekend lie-in</v>
      </c>
    </row>
    <row r="16">
      <c r="A16" t="str">
        <v>2026-08-06</v>
      </c>
      <c r="B16" t="str">
        <v>PM (19:00)</v>
      </c>
      <c r="C16">
        <v>132</v>
      </c>
      <c r="D16">
        <v>82</v>
      </c>
      <c r="E16">
        <v>64</v>
      </c>
      <c r="F16">
        <f>ROUND(D16 + (C16 - D16)/3, 1)</f>
      </c>
      <c r="G16" t="str">
        <v>Target Range</v>
      </c>
      <c r="H16" t="str">
        <v>Post light cycling</v>
      </c>
    </row>
    <row r="17">
      <c r="A17" t="str">
        <v>2026-08-07</v>
      </c>
      <c r="B17" t="str">
        <v>AM (08:45)</v>
      </c>
      <c r="C17">
        <v>135</v>
      </c>
      <c r="D17">
        <v>84</v>
      </c>
      <c r="E17">
        <v>66</v>
      </c>
      <c r="F17">
        <f>ROUND(D17 + (C17 - D17)/3, 1)</f>
      </c>
      <c r="G17" t="str">
        <v>Target Range</v>
      </c>
      <c r="H17" t="str">
        <v>Weekend</v>
      </c>
    </row>
    <row r="18">
      <c r="A18" t="str">
        <v>2026-08-07</v>
      </c>
      <c r="B18" t="str">
        <v>PM (20:30)</v>
      </c>
      <c r="C18">
        <v>138</v>
      </c>
      <c r="D18">
        <v>86</v>
      </c>
      <c r="E18">
        <v>70</v>
      </c>
      <c r="F18">
        <f>ROUND(D18 + (C18 - D18)/3, 1)</f>
      </c>
      <c r="G18" t="str">
        <v>Target Range</v>
      </c>
      <c r="H18" t="str">
        <v>After family dinner</v>
      </c>
    </row>
    <row r="19">
      <c r="A19" t="str">
        <v>2026-08-08</v>
      </c>
      <c r="B19" t="str">
        <v>AM (08:05)</v>
      </c>
      <c r="C19">
        <v>140</v>
      </c>
      <c r="D19">
        <v>88</v>
      </c>
      <c r="E19">
        <v>75</v>
      </c>
      <c r="F19">
        <f>ROUND(D19 + (C19 - D19)/3, 1)</f>
      </c>
      <c r="G19" t="str">
        <v>Stage 1 Elevated</v>
      </c>
      <c r="H19" t="str">
        <v>Monday commute rush</v>
      </c>
    </row>
    <row r="20">
      <c r="A20" t="str">
        <v>2026-08-08</v>
      </c>
      <c r="B20" t="str">
        <v>PM (19:50)</v>
      </c>
      <c r="C20">
        <v>136</v>
      </c>
      <c r="D20">
        <v>85</v>
      </c>
      <c r="E20">
        <v>68</v>
      </c>
      <c r="F20">
        <f>ROUND(D20 + (C20 - D20)/3, 1)</f>
      </c>
      <c r="G20" t="str">
        <v>Target Range</v>
      </c>
      <c r="H20" t="str">
        <v>Rested</v>
      </c>
    </row>
    <row r="21">
      <c r="A21" t="str">
        <v>2026-08-09</v>
      </c>
      <c r="B21" t="str">
        <v>AM (08:20)</v>
      </c>
      <c r="C21">
        <v>136</v>
      </c>
      <c r="D21">
        <v>86</v>
      </c>
      <c r="E21">
        <v>71</v>
      </c>
      <c r="F21">
        <f>ROUND(D21 + (C21 - D21)/3, 1)</f>
      </c>
      <c r="G21" t="str">
        <v>Target Range</v>
      </c>
      <c r="H21" t="str">
        <v>Routine</v>
      </c>
    </row>
    <row r="22">
      <c r="A22" t="str">
        <v>2026-08-09</v>
      </c>
      <c r="B22" t="str">
        <v>PM (19:40)</v>
      </c>
      <c r="C22">
        <v>134</v>
      </c>
      <c r="D22">
        <v>84</v>
      </c>
      <c r="E22">
        <v>68</v>
      </c>
      <c r="F22">
        <f>ROUND(D22 + (C22 - D22)/3, 1)</f>
      </c>
      <c r="G22" t="str">
        <v>Target Range</v>
      </c>
      <c r="H22" t="str">
        <v>DASH diet compliant</v>
      </c>
    </row>
    <row r="23">
      <c r="A23" t="str">
        <v>2026-08-10</v>
      </c>
      <c r="B23" t="str">
        <v>AM (08:15)</v>
      </c>
      <c r="C23">
        <v>135</v>
      </c>
      <c r="D23">
        <v>85</v>
      </c>
      <c r="E23">
        <v>69</v>
      </c>
      <c r="F23">
        <f>ROUND(D23 + (C23 - D23)/3, 1)</f>
      </c>
      <c r="G23" t="str">
        <v>Target Range</v>
      </c>
      <c r="H23" t="str">
        <v>Standard</v>
      </c>
    </row>
    <row r="24">
      <c r="A24" t="str">
        <v>2026-08-10</v>
      </c>
      <c r="B24" t="str">
        <v>PM (20:00)</v>
      </c>
      <c r="C24">
        <v>137</v>
      </c>
      <c r="D24">
        <v>86</v>
      </c>
      <c r="E24">
        <v>70</v>
      </c>
      <c r="F24">
        <f>ROUND(D24 + (C24 - D24)/3, 1)</f>
      </c>
      <c r="G24" t="str">
        <v>Target Range</v>
      </c>
      <c r="H24" t="str">
        <v>Moderate work fatigue</v>
      </c>
    </row>
    <row r="25">
      <c r="A25" t="str">
        <v>2026-08-11</v>
      </c>
      <c r="B25" t="str">
        <v>AM (08:10)</v>
      </c>
      <c r="C25">
        <v>138</v>
      </c>
      <c r="D25">
        <v>87</v>
      </c>
      <c r="E25">
        <v>73</v>
      </c>
      <c r="F25">
        <f>ROUND(D25 + (C25 - D25)/3, 1)</f>
      </c>
      <c r="G25" t="str">
        <v>Target Range</v>
      </c>
      <c r="H25" t="str">
        <v>Standard</v>
      </c>
    </row>
    <row r="26">
      <c r="A26" t="str">
        <v>2026-08-11</v>
      </c>
      <c r="B26" t="str">
        <v>PM (19:30)</v>
      </c>
      <c r="C26">
        <v>133</v>
      </c>
      <c r="D26">
        <v>83</v>
      </c>
      <c r="E26">
        <v>65</v>
      </c>
      <c r="F26">
        <f>ROUND(D26 + (C26 - D26)/3, 1)</f>
      </c>
      <c r="G26" t="str">
        <v>Target Range</v>
      </c>
      <c r="H26" t="str">
        <v>Post 40-min brisk walk</v>
      </c>
    </row>
    <row r="27">
      <c r="A27" t="str">
        <v>2026-08-12</v>
      </c>
      <c r="B27" t="str">
        <v>AM (08:25)</v>
      </c>
      <c r="C27">
        <v>136</v>
      </c>
      <c r="D27">
        <v>85</v>
      </c>
      <c r="E27">
        <v>70</v>
      </c>
      <c r="F27">
        <f>ROUND(D27 + (C27 - D27)/3, 1)</f>
      </c>
      <c r="G27" t="str">
        <v>Target Range</v>
      </c>
      <c r="H27" t="str">
        <v>Routine</v>
      </c>
    </row>
    <row r="28">
      <c r="A28" t="str">
        <v>2026-08-12</v>
      </c>
      <c r="B28" t="str">
        <v>PM (20:15)</v>
      </c>
      <c r="C28">
        <v>135</v>
      </c>
      <c r="D28">
        <v>84</v>
      </c>
      <c r="E28">
        <v>67</v>
      </c>
      <c r="F28">
        <f>ROUND(D28 + (C28 - D28)/3, 1)</f>
      </c>
      <c r="G28" t="str">
        <v>Target Range</v>
      </c>
      <c r="H28" t="str">
        <v>No caffeine after 14:00</v>
      </c>
    </row>
    <row r="29">
      <c r="A29" t="str">
        <v>2026-08-13</v>
      </c>
      <c r="B29" t="str">
        <v>AM (09:10)</v>
      </c>
      <c r="C29">
        <v>133</v>
      </c>
      <c r="D29">
        <v>82</v>
      </c>
      <c r="E29">
        <v>64</v>
      </c>
      <c r="F29">
        <f>ROUND(D29 + (C29 - D29)/3, 1)</f>
      </c>
      <c r="G29" t="str">
        <v>Target Range</v>
      </c>
      <c r="H29" t="str">
        <v>Saturday morning</v>
      </c>
    </row>
    <row r="30">
      <c r="A30" t="str">
        <v>2026-08-13</v>
      </c>
      <c r="B30" t="str">
        <v>PM (19:20)</v>
      </c>
      <c r="C30">
        <v>131</v>
      </c>
      <c r="D30">
        <v>81</v>
      </c>
      <c r="E30">
        <v>63</v>
      </c>
      <c r="F30">
        <f>ROUND(D30 + (C30 - D30)/3, 1)</f>
      </c>
      <c r="G30" t="str">
        <v>Target Range</v>
      </c>
      <c r="H30" t="str">
        <v>Low stress day</v>
      </c>
    </row>
    <row r="31">
      <c r="A31" t="str">
        <v>2026-08-14</v>
      </c>
      <c r="B31" t="str">
        <v>AM (08:50)</v>
      </c>
      <c r="C31">
        <v>134</v>
      </c>
      <c r="D31">
        <v>83</v>
      </c>
      <c r="E31">
        <v>66</v>
      </c>
      <c r="F31">
        <f>ROUND(D31 + (C31 - D31)/3, 1)</f>
      </c>
      <c r="G31" t="str">
        <v>Target Range</v>
      </c>
      <c r="H31" t="str">
        <v>Sunday morning</v>
      </c>
    </row>
    <row r="32">
      <c r="A32" t="str">
        <v>2026-08-14</v>
      </c>
      <c r="B32" t="str">
        <v>PM (20:00)</v>
      </c>
      <c r="C32">
        <v>135</v>
      </c>
      <c r="D32">
        <v>84</v>
      </c>
      <c r="E32">
        <v>67</v>
      </c>
      <c r="F32">
        <f>ROUND(D32 + (C32 - D32)/3, 1)</f>
      </c>
      <c r="G32" t="str">
        <v>Target Range</v>
      </c>
      <c r="H32" t="str">
        <v>End of 14-day cycle review</v>
      </c>
    </row>
    <row r="33">
      <c r="A33" t="str">
        <v/>
      </c>
    </row>
    <row r="34">
      <c r="A34" t="str">
        <v>FORMULA_AVERAGE</v>
      </c>
      <c r="B34" t="str">
        <v>ALL_READINGS</v>
      </c>
      <c r="C34">
        <f>AVERAGE(C5:C32)</f>
      </c>
      <c r="D34">
        <f>AVERAGE(D5:D32)</f>
      </c>
      <c r="E34">
        <f>AVERAGE(E5:E32)</f>
      </c>
      <c r="F34">
        <f>AVERAGE(F5:F32)</f>
      </c>
      <c r="G34" t="str">
        <v>HBPM Overall Daytime Mean</v>
      </c>
      <c r="H34" t="str">
        <v>Target is &lt; 135/85 mmHg</v>
      </c>
    </row>
    <row r="35">
      <c r="A35" t="str">
        <v>FORMULA_MAXIMUM</v>
      </c>
      <c r="B35" t="str">
        <v>PEAK_READING</v>
      </c>
      <c r="C35">
        <f>MAX(C5:C32)</f>
      </c>
      <c r="D35">
        <f>MAX(D5:D32)</f>
      </c>
      <c r="E35">
        <f>MAX(E5:E32)</f>
      </c>
      <c r="F35" t="str">
        <v/>
      </c>
      <c r="G35" t="str">
        <v/>
      </c>
      <c r="H35" t="str">
        <v/>
      </c>
    </row>
    <row r="36">
      <c r="A36" t="str">
        <v>FORMULA_MINIMUM</v>
      </c>
      <c r="B36" t="str">
        <v>TROUGH_READING</v>
      </c>
      <c r="C36">
        <f>MIN(C5:C32)</f>
      </c>
      <c r="D36">
        <f>MIN(D5:D32)</f>
      </c>
      <c r="E36">
        <f>MIN(E5:E32)</f>
      </c>
      <c r="F36" t="str">
        <v/>
      </c>
      <c r="G36" t="str">
        <v/>
      </c>
      <c r="H36" t="str">
        <v/>
      </c>
    </row>
  </sheetData>
  <ignoredErrors>
    <ignoredError numberStoredAsText="1" sqref="A1:H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32.83203125" customWidth="1"/>
    <col min="2" max="2" width="14.83203125" customWidth="1"/>
    <col min="3" max="3" width="16.83203125" customWidth="1"/>
    <col min="4" max="4" width="18.83203125" customWidth="1"/>
    <col min="5" max="5" width="18.83203125" customWidth="1"/>
    <col min="6" max="6" width="48.83203125" customWidth="1"/>
  </cols>
  <sheetData>
    <row r="1">
      <c r="A1" t="str">
        <v>METABOLIC, RENAL &amp; CARDIOVASCULAR BIOMARKER ASSAY</v>
      </c>
    </row>
    <row r="2">
      <c r="A2" t="str">
        <v>Laboratory: NHS South London Pathology Partnership • Accession: MET-2026-8812</v>
      </c>
    </row>
    <row r="3">
      <c r="A3" t="str">
        <v/>
      </c>
    </row>
    <row r="4">
      <c r="A4" t="str">
        <v>Biomarker_Analyte</v>
      </c>
      <c r="B4" t="str">
        <v>Result_Value</v>
      </c>
      <c r="C4" t="str">
        <v>Units</v>
      </c>
      <c r="D4" t="str">
        <v>Reference_Range</v>
      </c>
      <c r="E4" t="str">
        <v>Status_Flag</v>
      </c>
      <c r="F4" t="str">
        <v>Clinical_Interpretation</v>
      </c>
    </row>
    <row r="5">
      <c r="A5" t="str">
        <v>Total Serum Cholesterol</v>
      </c>
      <c r="B5">
        <v>5.3</v>
      </c>
      <c r="C5" t="str">
        <v>mmol/L</v>
      </c>
      <c r="D5" t="str">
        <v>&lt; 5.0</v>
      </c>
      <c r="E5" t="str">
        <v>Borderline High</v>
      </c>
      <c r="F5" t="str">
        <v>Recommend dietary reduction of saturated fats.</v>
      </c>
    </row>
    <row r="6">
      <c r="A6" t="str">
        <v>HDL Cholesterol</v>
      </c>
      <c r="B6">
        <v>1.35</v>
      </c>
      <c r="C6" t="str">
        <v>mmol/L</v>
      </c>
      <c r="D6" t="str">
        <v>&gt; 1.0</v>
      </c>
      <c r="E6" t="str">
        <v>Normal</v>
      </c>
      <c r="F6" t="str">
        <v>Adequate cardioprotective fraction.</v>
      </c>
    </row>
    <row r="7">
      <c r="A7" t="str">
        <v>LDL Cholesterol (Calc)</v>
      </c>
      <c r="B7">
        <v>3.2</v>
      </c>
      <c r="C7" t="str">
        <v>mmol/L</v>
      </c>
      <c r="D7" t="str">
        <v>&lt; 3.0</v>
      </c>
      <c r="E7" t="str">
        <v>Mild Elevation</v>
      </c>
      <c r="F7" t="str">
        <v>Primary target for non-pharmacological reduction.</v>
      </c>
    </row>
    <row r="8">
      <c r="A8" t="str">
        <v>Serum Triglycerides</v>
      </c>
      <c r="B8">
        <v>1.6</v>
      </c>
      <c r="C8" t="str">
        <v>mmol/L</v>
      </c>
      <c r="D8" t="str">
        <v>&lt; 2.3</v>
      </c>
      <c r="E8" t="str">
        <v>Normal</v>
      </c>
      <c r="F8" t="str">
        <v>Within desirable limits.</v>
      </c>
    </row>
    <row r="9">
      <c r="A9" t="str">
        <v>Total Chol : HDL Ratio</v>
      </c>
      <c r="B9">
        <f>ROUND(B5/B6, 2)</f>
      </c>
      <c r="C9" t="str">
        <v>Ratio</v>
      </c>
      <c r="D9" t="str">
        <v>&lt; 4.5</v>
      </c>
      <c r="E9" t="str">
        <v>Optimal</v>
      </c>
      <c r="F9" t="str">
        <v>Low cardiovascular risk proportion.</v>
      </c>
    </row>
    <row r="10">
      <c r="A10" t="str">
        <v>Glycated Haemoglobin (HbA1c)</v>
      </c>
      <c r="B10">
        <v>37</v>
      </c>
      <c r="C10" t="str">
        <v>mmol/mol</v>
      </c>
      <c r="D10" t="str">
        <v>20 - 41</v>
      </c>
      <c r="E10" t="str">
        <v>Normoglycaemic</v>
      </c>
      <c r="F10" t="str">
        <v>Normal glycemic regulation; no pre-diabetes.</v>
      </c>
    </row>
    <row r="11">
      <c r="A11" t="str">
        <v>Estimated GFR (eGFR)</v>
      </c>
      <c r="B11">
        <v>90</v>
      </c>
      <c r="C11" t="str">
        <v>mL/min/1.73m²</v>
      </c>
      <c r="D11" t="str">
        <v>&gt; 60</v>
      </c>
      <c r="E11" t="str">
        <v>Normal</v>
      </c>
      <c r="F11" t="str">
        <v>Normal baseline glomerular filtration.</v>
      </c>
    </row>
    <row r="12">
      <c r="A12" t="str">
        <v>Serum Creatinine</v>
      </c>
      <c r="B12">
        <v>82</v>
      </c>
      <c r="C12" t="str">
        <v>umol/L</v>
      </c>
      <c r="D12" t="str">
        <v>60 - 110</v>
      </c>
      <c r="E12" t="str">
        <v>Normal</v>
      </c>
      <c r="F12" t="str">
        <v>No evidence of hypertensive nephropathy.</v>
      </c>
    </row>
    <row r="13">
      <c r="A13" t="str">
        <v>Serum Potassium (K+)</v>
      </c>
      <c r="B13">
        <v>4.3</v>
      </c>
      <c r="C13" t="str">
        <v>mmol/L</v>
      </c>
      <c r="D13" t="str">
        <v>3.5 - 5.0</v>
      </c>
      <c r="E13" t="str">
        <v>Normal</v>
      </c>
      <c r="F13" t="str">
        <v>Excludes primary hyperaldosteronism (Conn's).</v>
      </c>
    </row>
    <row r="14">
      <c r="A14" t="str">
        <v>Serum Sodium (Na+)</v>
      </c>
      <c r="B14">
        <v>140</v>
      </c>
      <c r="C14" t="str">
        <v>mmol/L</v>
      </c>
      <c r="D14" t="str">
        <v>135 - 145</v>
      </c>
      <c r="E14" t="str">
        <v>Normal</v>
      </c>
      <c r="F14" t="str">
        <v>Electrolyte homeostasis intact.</v>
      </c>
    </row>
    <row r="15">
      <c r="A15" t="str">
        <v>Urine Albumin:Creatinine Ratio</v>
      </c>
      <c r="B15">
        <v>1.2</v>
      </c>
      <c r="C15" t="str">
        <v>mg/mmol</v>
      </c>
      <c r="D15" t="str">
        <v>&lt; 3.0</v>
      </c>
      <c r="E15" t="str">
        <v>Normoalbuminuria</v>
      </c>
      <c r="F15" t="str">
        <v>Negative for renal microvascular leakage.</v>
      </c>
    </row>
    <row r="16">
      <c r="A16" t="str">
        <v/>
      </c>
    </row>
    <row r="17">
      <c r="A17" t="str">
        <v>10-YEAR CVD RISK CALCULATION (QRISK3)</v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Risk Assessment Tool</v>
      </c>
      <c r="B18" t="str">
        <v>QRISK3 (2026 Revision)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>Calculated 10-Year Score</v>
      </c>
      <c r="B19" t="str">
        <v>6.4%</v>
      </c>
      <c r="C19" t="str">
        <v/>
      </c>
      <c r="D19" t="str">
        <v/>
      </c>
      <c r="E19" t="str">
        <v>Low Risk</v>
      </c>
      <c r="F19" t="str">
        <v>NICE lipid threshold for statins (10%) not breached.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Clinical_Summary</vt:lpstr>
      <vt:lpstr>HBPM_Readings</vt:lpstr>
      <vt:lpstr>Metabolic_Panel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